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IA\OneDrive - Instituto Tecnológico de Aguascalientes\Documentos\AGO-DIC 2025\RECOLECCIÓN DE DATOS\UNIDAD_1\"/>
    </mc:Choice>
  </mc:AlternateContent>
  <xr:revisionPtr revIDLastSave="0" documentId="13_ncr:1_{793914E5-7AA0-4E51-AB05-BBDDC82A3B2F}" xr6:coauthVersionLast="47" xr6:coauthVersionMax="47" xr10:uidLastSave="{00000000-0000-0000-0000-000000000000}"/>
  <bookViews>
    <workbookView xWindow="-108" yWindow="-108" windowWidth="23256" windowHeight="12576" xr2:uid="{6E88141E-6961-42B4-9E16-E79BDBE2648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E15" i="1"/>
  <c r="E14" i="1"/>
  <c r="E13" i="1"/>
  <c r="E12" i="1"/>
  <c r="E11" i="1"/>
  <c r="E10" i="1"/>
  <c r="E9" i="1"/>
  <c r="E8" i="1"/>
  <c r="E7" i="1"/>
  <c r="E6" i="1"/>
  <c r="D16" i="1"/>
  <c r="D15" i="1"/>
  <c r="D14" i="1"/>
  <c r="D13" i="1"/>
  <c r="D12" i="1"/>
  <c r="D11" i="1"/>
  <c r="D10" i="1"/>
  <c r="D9" i="1"/>
  <c r="D8" i="1"/>
  <c r="D6" i="1"/>
  <c r="D7" i="1"/>
  <c r="C16" i="1"/>
  <c r="C15" i="1"/>
  <c r="C13" i="1"/>
  <c r="C14" i="1"/>
  <c r="C12" i="1"/>
  <c r="C11" i="1"/>
  <c r="C10" i="1"/>
  <c r="C9" i="1"/>
  <c r="F9" i="1" s="1"/>
  <c r="G9" i="1" s="1"/>
  <c r="C8" i="1"/>
  <c r="F8" i="1" s="1"/>
  <c r="G8" i="1" s="1"/>
  <c r="C7" i="1"/>
  <c r="F7" i="1" s="1"/>
  <c r="G7" i="1" s="1"/>
  <c r="C6" i="1"/>
  <c r="F6" i="1" s="1"/>
  <c r="B7" i="1"/>
  <c r="B8" i="1"/>
  <c r="B9" i="1"/>
  <c r="B10" i="1"/>
  <c r="B11" i="1"/>
  <c r="B12" i="1"/>
  <c r="B13" i="1"/>
  <c r="B14" i="1"/>
  <c r="B15" i="1"/>
  <c r="B16" i="1"/>
  <c r="B6" i="1"/>
  <c r="A7" i="1"/>
  <c r="G6" i="1" l="1"/>
  <c r="H6" i="1" s="1"/>
  <c r="I6" i="1" s="1"/>
  <c r="H7" i="1"/>
  <c r="I7" i="1" s="1"/>
  <c r="H8" i="1"/>
  <c r="I8" i="1" s="1"/>
  <c r="F11" i="1"/>
  <c r="G11" i="1" s="1"/>
  <c r="F12" i="1"/>
  <c r="G12" i="1" s="1"/>
  <c r="H9" i="1"/>
  <c r="I9" i="1" s="1"/>
  <c r="F10" i="1"/>
  <c r="G10" i="1" s="1"/>
  <c r="A8" i="1"/>
  <c r="F15" i="1" l="1"/>
  <c r="G15" i="1" s="1"/>
  <c r="H15" i="1" s="1"/>
  <c r="I15" i="1" s="1"/>
  <c r="H12" i="1"/>
  <c r="I12" i="1" s="1"/>
  <c r="F14" i="1"/>
  <c r="G14" i="1" s="1"/>
  <c r="H14" i="1" s="1"/>
  <c r="I14" i="1" s="1"/>
  <c r="H11" i="1"/>
  <c r="I11" i="1" s="1"/>
  <c r="H10" i="1"/>
  <c r="I10" i="1" s="1"/>
  <c r="A9" i="1"/>
  <c r="A10" i="1" l="1"/>
  <c r="A11" i="1" l="1"/>
  <c r="A12" i="1" l="1"/>
  <c r="A13" i="1" l="1"/>
  <c r="A14" i="1" l="1"/>
  <c r="A15" i="1" l="1"/>
  <c r="A16" i="1" l="1"/>
  <c r="F13" i="1"/>
  <c r="G13" i="1" s="1"/>
  <c r="H13" i="1" l="1"/>
  <c r="I13" i="1" s="1"/>
  <c r="F16" i="1"/>
  <c r="G16" i="1" s="1"/>
  <c r="H16" i="1" s="1"/>
  <c r="I16" i="1" s="1"/>
</calcChain>
</file>

<file path=xl/sharedStrings.xml><?xml version="1.0" encoding="utf-8"?>
<sst xmlns="http://schemas.openxmlformats.org/spreadsheetml/2006/main" count="14" uniqueCount="11">
  <si>
    <t>.02*sen(x*pi)</t>
  </si>
  <si>
    <t>Bits</t>
  </si>
  <si>
    <t>Voltaje</t>
  </si>
  <si>
    <t>Prueba</t>
  </si>
  <si>
    <t>x</t>
  </si>
  <si>
    <t>Sen(x*pi)</t>
  </si>
  <si>
    <t>Variable</t>
  </si>
  <si>
    <t>5V</t>
  </si>
  <si>
    <t>3.3V</t>
  </si>
  <si>
    <t>1.1V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</si>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</sst>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ADC,</a:t>
            </a:r>
            <a:r>
              <a:rPr lang="es-MX" baseline="0"/>
              <a:t> Ancho de palabra y pérdida de datos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Sen(x*pi)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Sheet1!$B$6:$B$16</c:f>
            </c:numRef>
          </c:val>
          <c:smooth val="0"/>
          <c:extLst>
            <c:ext xmlns:c16="http://schemas.microsoft.com/office/drawing/2014/chart" uri="{C3380CC4-5D6E-409C-BE32-E72D297353CC}">
              <c16:uniqueId val="{00000000-8153-410E-A8F2-BD110F05689D}"/>
            </c:ext>
          </c:extLst>
        </c:ser>
        <c:ser>
          <c:idx val="1"/>
          <c:order val="1"/>
          <c:tx>
            <c:strRef>
              <c:f>Sheet1!$C$5</c:f>
              <c:strCache>
                <c:ptCount val="1"/>
                <c:pt idx="0">
                  <c:v>5V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Sheet1!$C$6:$C$16</c:f>
              <c:numCache>
                <c:formatCode>General</c:formatCode>
                <c:ptCount val="11"/>
                <c:pt idx="0">
                  <c:v>0</c:v>
                </c:pt>
                <c:pt idx="1">
                  <c:v>3.0901699437494743E-2</c:v>
                </c:pt>
                <c:pt idx="2">
                  <c:v>5.8778525229247314E-2</c:v>
                </c:pt>
                <c:pt idx="3">
                  <c:v>8.0901699437494742E-2</c:v>
                </c:pt>
                <c:pt idx="4">
                  <c:v>9.510565162951537E-2</c:v>
                </c:pt>
                <c:pt idx="5">
                  <c:v>0.1</c:v>
                </c:pt>
                <c:pt idx="6">
                  <c:v>9.510565162951537E-2</c:v>
                </c:pt>
                <c:pt idx="7">
                  <c:v>8.0901699437494742E-2</c:v>
                </c:pt>
                <c:pt idx="8">
                  <c:v>5.8778525229247328E-2</c:v>
                </c:pt>
                <c:pt idx="9">
                  <c:v>3.0901699437494795E-2</c:v>
                </c:pt>
                <c:pt idx="10">
                  <c:v>5.6660405534092464E-17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3-410E-A8F2-BD110F05689D}"/>
            </c:ext>
          </c:extLst>
        </c:ser>
        <c:ser>
          <c:idx val="2"/>
          <c:order val="2"/>
          <c:tx>
            <c:strRef>
              <c:f>Sheet1!$D$5</c:f>
              <c:strCache>
                <c:ptCount val="1"/>
                <c:pt idx="0">
                  <c:v>3.3V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Sheet1!$D$6:$D$16</c:f>
              <c:numCache>
                <c:formatCode>General</c:formatCode>
                <c:ptCount val="11"/>
                <c:pt idx="0">
                  <c:v>0</c:v>
                </c:pt>
                <c:pt idx="1">
                  <c:v>2.0395121628746529E-2</c:v>
                </c:pt>
                <c:pt idx="2">
                  <c:v>3.8793826651303223E-2</c:v>
                </c:pt>
                <c:pt idx="3">
                  <c:v>5.3395121628746524E-2</c:v>
                </c:pt>
                <c:pt idx="4">
                  <c:v>6.2769730075480132E-2</c:v>
                </c:pt>
                <c:pt idx="5">
                  <c:v>6.6000000000000003E-2</c:v>
                </c:pt>
                <c:pt idx="6">
                  <c:v>6.2769730075480132E-2</c:v>
                </c:pt>
                <c:pt idx="7">
                  <c:v>5.3395121628746524E-2</c:v>
                </c:pt>
                <c:pt idx="8">
                  <c:v>3.879382665130323E-2</c:v>
                </c:pt>
                <c:pt idx="9">
                  <c:v>2.0395121628746564E-2</c:v>
                </c:pt>
                <c:pt idx="10">
                  <c:v>3.7395867652501018E-17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53-410E-A8F2-BD110F05689D}"/>
            </c:ext>
          </c:extLst>
        </c:ser>
        <c:ser>
          <c:idx val="3"/>
          <c:order val="3"/>
          <c:tx>
            <c:strRef>
              <c:f>Sheet1!$E$5</c:f>
              <c:strCache>
                <c:ptCount val="1"/>
                <c:pt idx="0">
                  <c:v>1.1V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Sheet1!$E$6:$E$16</c:f>
              <c:numCache>
                <c:formatCode>General</c:formatCode>
                <c:ptCount val="11"/>
                <c:pt idx="0">
                  <c:v>0</c:v>
                </c:pt>
                <c:pt idx="1">
                  <c:v>6.7983738762488442E-3</c:v>
                </c:pt>
                <c:pt idx="2">
                  <c:v>1.2931275550434411E-2</c:v>
                </c:pt>
                <c:pt idx="3">
                  <c:v>1.7798373876248844E-2</c:v>
                </c:pt>
                <c:pt idx="4">
                  <c:v>2.0923243358493382E-2</c:v>
                </c:pt>
                <c:pt idx="5">
                  <c:v>2.2000000000000002E-2</c:v>
                </c:pt>
                <c:pt idx="6">
                  <c:v>2.0923243358493382E-2</c:v>
                </c:pt>
                <c:pt idx="7">
                  <c:v>1.7798373876248844E-2</c:v>
                </c:pt>
                <c:pt idx="8">
                  <c:v>1.2931275550434412E-2</c:v>
                </c:pt>
                <c:pt idx="9">
                  <c:v>6.7983738762488555E-3</c:v>
                </c:pt>
                <c:pt idx="10">
                  <c:v>1.2465289217500342E-17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53-410E-A8F2-BD110F05689D}"/>
            </c:ext>
          </c:extLst>
        </c:ser>
        <c:ser>
          <c:idx val="4"/>
          <c:order val="4"/>
          <c:tx>
            <c:strRef>
              <c:f>Sheet1!$F$5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Sheet1!$F$6:$F$16</c:f>
            </c:numRef>
          </c:val>
          <c:smooth val="0"/>
          <c:extLst>
            <c:ext xmlns:c16="http://schemas.microsoft.com/office/drawing/2014/chart" uri="{C3380CC4-5D6E-409C-BE32-E72D297353CC}">
              <c16:uniqueId val="{00000004-8153-410E-A8F2-BD110F05689D}"/>
            </c:ext>
          </c:extLst>
        </c:ser>
        <c:ser>
          <c:idx val="5"/>
          <c:order val="5"/>
          <c:tx>
            <c:strRef>
              <c:f>Sheet1!$G$5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Sheet1!$G$6:$G$16</c:f>
              <c:numCache>
                <c:formatCode>General</c:formatCode>
                <c:ptCount val="11"/>
                <c:pt idx="0">
                  <c:v>0</c:v>
                </c:pt>
                <c:pt idx="1">
                  <c:v>2.932551319648094E-2</c:v>
                </c:pt>
                <c:pt idx="2">
                  <c:v>5.865102639296188E-2</c:v>
                </c:pt>
                <c:pt idx="3">
                  <c:v>7.8201368523949169E-2</c:v>
                </c:pt>
                <c:pt idx="4">
                  <c:v>9.2864125122189639E-2</c:v>
                </c:pt>
                <c:pt idx="5">
                  <c:v>9.7751710654936458E-2</c:v>
                </c:pt>
                <c:pt idx="6">
                  <c:v>9.2864125122189639E-2</c:v>
                </c:pt>
                <c:pt idx="7">
                  <c:v>7.8201368523949169E-2</c:v>
                </c:pt>
                <c:pt idx="8">
                  <c:v>5.865102639296188E-2</c:v>
                </c:pt>
                <c:pt idx="9">
                  <c:v>2.932551319648094E-2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53-410E-A8F2-BD110F05689D}"/>
            </c:ext>
          </c:extLst>
        </c:ser>
        <c:ser>
          <c:idx val="6"/>
          <c:order val="6"/>
          <c:tx>
            <c:strRef>
              <c:f>Sheet1!$H$5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Sheet1!$H$6:$H$16</c:f>
              <c:numCache>
                <c:formatCode>General</c:formatCode>
                <c:ptCount val="11"/>
                <c:pt idx="0">
                  <c:v>0</c:v>
                </c:pt>
                <c:pt idx="1">
                  <c:v>-1.5761862410138029E-3</c:v>
                </c:pt>
                <c:pt idx="2">
                  <c:v>-1.2749883628543346E-4</c:v>
                </c:pt>
                <c:pt idx="3">
                  <c:v>-2.7003309135455733E-3</c:v>
                </c:pt>
                <c:pt idx="4">
                  <c:v>-2.2415265073257307E-3</c:v>
                </c:pt>
                <c:pt idx="5">
                  <c:v>-2.2482893450635477E-3</c:v>
                </c:pt>
                <c:pt idx="6">
                  <c:v>-2.2415265073257307E-3</c:v>
                </c:pt>
                <c:pt idx="7">
                  <c:v>-2.7003309135455733E-3</c:v>
                </c:pt>
                <c:pt idx="8">
                  <c:v>-1.2749883628544734E-4</c:v>
                </c:pt>
                <c:pt idx="9">
                  <c:v>-1.576186241013855E-3</c:v>
                </c:pt>
                <c:pt idx="10">
                  <c:v>-5.6660405534092464E-17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53-410E-A8F2-BD110F05689D}"/>
            </c:ext>
          </c:extLst>
        </c:ser>
        <c:ser>
          <c:idx val="7"/>
          <c:order val="7"/>
          <c:tx>
            <c:strRef>
              <c:f>Sheet1!$I$5</c:f>
              <c:strCache>
                <c:ptCount val="1"/>
                <c:pt idx="0">
                  <c:v>Error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Sheet1!$A$6:$A$16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cat>
          <c:val>
            <c:numRef>
              <c:f>Sheet1!$I$6:$I$16</c:f>
              <c:numCache>
                <c:formatCode>General</c:formatCode>
                <c:ptCount val="11"/>
                <c:pt idx="0">
                  <c:v>0</c:v>
                </c:pt>
                <c:pt idx="1">
                  <c:v>1.5761862410138029E-3</c:v>
                </c:pt>
                <c:pt idx="2">
                  <c:v>1.2749883628543346E-4</c:v>
                </c:pt>
                <c:pt idx="3">
                  <c:v>2.7003309135455733E-3</c:v>
                </c:pt>
                <c:pt idx="4">
                  <c:v>2.2415265073257307E-3</c:v>
                </c:pt>
                <c:pt idx="5">
                  <c:v>2.2482893450635477E-3</c:v>
                </c:pt>
                <c:pt idx="6">
                  <c:v>2.2415265073257307E-3</c:v>
                </c:pt>
                <c:pt idx="7">
                  <c:v>2.7003309135455733E-3</c:v>
                </c:pt>
                <c:pt idx="8">
                  <c:v>1.2749883628544734E-4</c:v>
                </c:pt>
                <c:pt idx="9">
                  <c:v>1.576186241013855E-3</c:v>
                </c:pt>
                <c:pt idx="10">
                  <c:v>5.6660405534092464E-17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53-410E-A8F2-BD110F056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806352"/>
        <c:axId val="1057766128"/>
      </c:lineChart>
      <c:catAx>
        <c:axId val="106180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57766128"/>
        <c:crosses val="autoZero"/>
        <c:auto val="1"/>
        <c:lblAlgn val="ctr"/>
        <c:lblOffset val="100"/>
        <c:noMultiLvlLbl val="0"/>
      </c:catAx>
      <c:valAx>
        <c:axId val="10577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6180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236220</xdr:colOff>
      <xdr:row>1</xdr:row>
      <xdr:rowOff>72390</xdr:rowOff>
    </xdr:from>
    <xdr:to>
      <xdr:col>21</xdr:col>
      <xdr:colOff>434340</xdr:colOff>
      <xdr:row>26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412AA0-8914-230B-067B-DD1DDF497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27BE-78B0-41BD-AC93-376F924FCB48}">
  <sheetPr codeName="Sheet1"/>
  <dimension ref="A2:J16"/>
  <sheetViews>
    <sheetView tabSelected="1" workbookViewId="0">
      <selection activeCell="F1" sqref="F1:F1048576"/>
    </sheetView>
  </sheetViews>
  <sheetFormatPr defaultRowHeight="14.4" x14ac:dyDescent="0.3"/>
  <cols>
    <col min="2" max="2" width="9.6640625" hidden="1" customWidth="1"/>
    <col min="3" max="5" width="12" bestFit="1" customWidth="1"/>
    <col min="6" max="6" width="8.88671875" hidden="1" customWidth="1"/>
  </cols>
  <sheetData>
    <row r="2" spans="1:10" x14ac:dyDescent="0.3">
      <c r="E2" t="s">
        <v>1</v>
      </c>
      <c r="G2">
        <v>10</v>
      </c>
    </row>
    <row r="3" spans="1:10" x14ac:dyDescent="0.3">
      <c r="A3" t="s">
        <v>0</v>
      </c>
      <c r="E3" t="s">
        <v>2</v>
      </c>
      <c r="G3">
        <v>5</v>
      </c>
      <c r="H3">
        <v>3.3</v>
      </c>
      <c r="I3">
        <v>1.1000000000000001</v>
      </c>
    </row>
    <row r="4" spans="1:10" x14ac:dyDescent="0.3">
      <c r="C4" t="s">
        <v>7</v>
      </c>
      <c r="D4" t="s">
        <v>8</v>
      </c>
      <c r="E4" t="s">
        <v>9</v>
      </c>
      <c r="F4" t="s">
        <v>3</v>
      </c>
    </row>
    <row r="5" spans="1:10" x14ac:dyDescent="0.3">
      <c r="A5" t="s">
        <v>4</v>
      </c>
      <c r="B5" t="s">
        <v>5</v>
      </c>
      <c r="C5" t="s">
        <v>7</v>
      </c>
      <c r="D5" t="s">
        <v>8</v>
      </c>
      <c r="E5" t="s">
        <v>9</v>
      </c>
      <c r="F5" t="s">
        <v>6</v>
      </c>
      <c r="I5" t="s">
        <v>10</v>
      </c>
    </row>
    <row r="6" spans="1:10" x14ac:dyDescent="0.3">
      <c r="A6">
        <v>0</v>
      </c>
      <c r="B6">
        <f>0.02*SIN(A6*PI())</f>
        <v>0</v>
      </c>
      <c r="C6">
        <f>B6*G3</f>
        <v>0</v>
      </c>
      <c r="D6">
        <f>B6*H3</f>
        <v>0</v>
      </c>
      <c r="E6">
        <f>B6*I3</f>
        <v>0</v>
      </c>
      <c r="F6">
        <f>INT((C6*1023)/5)</f>
        <v>0</v>
      </c>
      <c r="G6">
        <f>F6*(5/1023)</f>
        <v>0</v>
      </c>
      <c r="H6">
        <f>G6-C6</f>
        <v>0</v>
      </c>
      <c r="I6">
        <f>ABS(H6)</f>
        <v>0</v>
      </c>
      <c r="J6">
        <v>1</v>
      </c>
    </row>
    <row r="7" spans="1:10" x14ac:dyDescent="0.3">
      <c r="A7">
        <f>A6+0.1</f>
        <v>0.1</v>
      </c>
      <c r="B7">
        <f t="shared" ref="B7:B16" si="0">0.02*SIN(A7*PI())</f>
        <v>6.1803398874989484E-3</v>
      </c>
      <c r="C7">
        <f>B7*G3</f>
        <v>3.0901699437494743E-2</v>
      </c>
      <c r="D7">
        <f>B7*H3</f>
        <v>2.0395121628746529E-2</v>
      </c>
      <c r="E7">
        <f>B7*I3</f>
        <v>6.7983738762488442E-3</v>
      </c>
      <c r="F7">
        <f t="shared" ref="F7:F16" si="1">INT((C7*1023)/5)</f>
        <v>6</v>
      </c>
      <c r="G7">
        <f t="shared" ref="G7:G16" si="2">F7*(5/1023)</f>
        <v>2.932551319648094E-2</v>
      </c>
      <c r="H7">
        <f t="shared" ref="H7:H16" si="3">G7-C7</f>
        <v>-1.5761862410138029E-3</v>
      </c>
      <c r="I7">
        <f t="shared" ref="I7:I16" si="4">ABS(H7)</f>
        <v>1.5761862410138029E-3</v>
      </c>
      <c r="J7">
        <v>2</v>
      </c>
    </row>
    <row r="8" spans="1:10" x14ac:dyDescent="0.3">
      <c r="A8">
        <f t="shared" ref="A8:A15" si="5">A7+0.1</f>
        <v>0.2</v>
      </c>
      <c r="B8">
        <f t="shared" si="0"/>
        <v>1.1755705045849463E-2</v>
      </c>
      <c r="C8">
        <f>B8*G3</f>
        <v>5.8778525229247314E-2</v>
      </c>
      <c r="D8">
        <f>B8*H3</f>
        <v>3.8793826651303223E-2</v>
      </c>
      <c r="E8">
        <f>B8*I3</f>
        <v>1.2931275550434411E-2</v>
      </c>
      <c r="F8">
        <f t="shared" si="1"/>
        <v>12</v>
      </c>
      <c r="G8">
        <f t="shared" si="2"/>
        <v>5.865102639296188E-2</v>
      </c>
      <c r="H8">
        <f t="shared" si="3"/>
        <v>-1.2749883628543346E-4</v>
      </c>
      <c r="I8">
        <f t="shared" si="4"/>
        <v>1.2749883628543346E-4</v>
      </c>
      <c r="J8">
        <v>3</v>
      </c>
    </row>
    <row r="9" spans="1:10" x14ac:dyDescent="0.3">
      <c r="A9">
        <f t="shared" si="5"/>
        <v>0.30000000000000004</v>
      </c>
      <c r="B9">
        <f t="shared" si="0"/>
        <v>1.6180339887498948E-2</v>
      </c>
      <c r="C9">
        <f>B9*G3</f>
        <v>8.0901699437494742E-2</v>
      </c>
      <c r="D9">
        <f>B9*H3</f>
        <v>5.3395121628746524E-2</v>
      </c>
      <c r="E9">
        <f>B9*I3</f>
        <v>1.7798373876248844E-2</v>
      </c>
      <c r="F9">
        <f t="shared" si="1"/>
        <v>16</v>
      </c>
      <c r="G9">
        <f t="shared" si="2"/>
        <v>7.8201368523949169E-2</v>
      </c>
      <c r="H9">
        <f t="shared" si="3"/>
        <v>-2.7003309135455733E-3</v>
      </c>
      <c r="I9">
        <f t="shared" si="4"/>
        <v>2.7003309135455733E-3</v>
      </c>
      <c r="J9">
        <v>4</v>
      </c>
    </row>
    <row r="10" spans="1:10" x14ac:dyDescent="0.3">
      <c r="A10">
        <f t="shared" si="5"/>
        <v>0.4</v>
      </c>
      <c r="B10">
        <f t="shared" si="0"/>
        <v>1.9021130325903073E-2</v>
      </c>
      <c r="C10">
        <f>B10*G3</f>
        <v>9.510565162951537E-2</v>
      </c>
      <c r="D10">
        <f>B10*H3</f>
        <v>6.2769730075480132E-2</v>
      </c>
      <c r="E10">
        <f>B10*I3</f>
        <v>2.0923243358493382E-2</v>
      </c>
      <c r="F10">
        <f t="shared" si="1"/>
        <v>19</v>
      </c>
      <c r="G10">
        <f t="shared" si="2"/>
        <v>9.2864125122189639E-2</v>
      </c>
      <c r="H10">
        <f t="shared" si="3"/>
        <v>-2.2415265073257307E-3</v>
      </c>
      <c r="I10">
        <f t="shared" si="4"/>
        <v>2.2415265073257307E-3</v>
      </c>
      <c r="J10">
        <v>5</v>
      </c>
    </row>
    <row r="11" spans="1:10" x14ac:dyDescent="0.3">
      <c r="A11">
        <f t="shared" si="5"/>
        <v>0.5</v>
      </c>
      <c r="B11">
        <f t="shared" si="0"/>
        <v>0.02</v>
      </c>
      <c r="C11">
        <f>B11*G3</f>
        <v>0.1</v>
      </c>
      <c r="D11">
        <f>B11*H3</f>
        <v>6.6000000000000003E-2</v>
      </c>
      <c r="E11">
        <f>B11*I3</f>
        <v>2.2000000000000002E-2</v>
      </c>
      <c r="F11">
        <f t="shared" si="1"/>
        <v>20</v>
      </c>
      <c r="G11">
        <f t="shared" si="2"/>
        <v>9.7751710654936458E-2</v>
      </c>
      <c r="H11">
        <f t="shared" si="3"/>
        <v>-2.2482893450635477E-3</v>
      </c>
      <c r="I11">
        <f t="shared" si="4"/>
        <v>2.2482893450635477E-3</v>
      </c>
    </row>
    <row r="12" spans="1:10" x14ac:dyDescent="0.3">
      <c r="A12">
        <f t="shared" si="5"/>
        <v>0.6</v>
      </c>
      <c r="B12">
        <f t="shared" si="0"/>
        <v>1.9021130325903073E-2</v>
      </c>
      <c r="C12">
        <f>B12*G3</f>
        <v>9.510565162951537E-2</v>
      </c>
      <c r="D12">
        <f>B12*H3</f>
        <v>6.2769730075480132E-2</v>
      </c>
      <c r="E12">
        <f>B12*I3</f>
        <v>2.0923243358493382E-2</v>
      </c>
      <c r="F12">
        <f t="shared" si="1"/>
        <v>19</v>
      </c>
      <c r="G12">
        <f t="shared" si="2"/>
        <v>9.2864125122189639E-2</v>
      </c>
      <c r="H12">
        <f t="shared" si="3"/>
        <v>-2.2415265073257307E-3</v>
      </c>
      <c r="I12">
        <f t="shared" si="4"/>
        <v>2.2415265073257307E-3</v>
      </c>
    </row>
    <row r="13" spans="1:10" x14ac:dyDescent="0.3">
      <c r="A13">
        <f t="shared" si="5"/>
        <v>0.7</v>
      </c>
      <c r="B13">
        <f t="shared" si="0"/>
        <v>1.6180339887498948E-2</v>
      </c>
      <c r="C13">
        <f>B13*G3</f>
        <v>8.0901699437494742E-2</v>
      </c>
      <c r="D13">
        <f>B13*H3</f>
        <v>5.3395121628746524E-2</v>
      </c>
      <c r="E13">
        <f>B13*I3</f>
        <v>1.7798373876248844E-2</v>
      </c>
      <c r="F13">
        <f t="shared" si="1"/>
        <v>16</v>
      </c>
      <c r="G13">
        <f t="shared" si="2"/>
        <v>7.8201368523949169E-2</v>
      </c>
      <c r="H13">
        <f t="shared" si="3"/>
        <v>-2.7003309135455733E-3</v>
      </c>
      <c r="I13">
        <f t="shared" si="4"/>
        <v>2.7003309135455733E-3</v>
      </c>
    </row>
    <row r="14" spans="1:10" x14ac:dyDescent="0.3">
      <c r="A14">
        <f t="shared" si="5"/>
        <v>0.79999999999999993</v>
      </c>
      <c r="B14">
        <f t="shared" si="0"/>
        <v>1.1755705045849465E-2</v>
      </c>
      <c r="C14">
        <f>B14*G3</f>
        <v>5.8778525229247328E-2</v>
      </c>
      <c r="D14">
        <f>B14*H3</f>
        <v>3.879382665130323E-2</v>
      </c>
      <c r="E14">
        <f>B14*I3</f>
        <v>1.2931275550434412E-2</v>
      </c>
      <c r="F14">
        <f t="shared" si="1"/>
        <v>12</v>
      </c>
      <c r="G14">
        <f t="shared" si="2"/>
        <v>5.865102639296188E-2</v>
      </c>
      <c r="H14">
        <f t="shared" si="3"/>
        <v>-1.2749883628544734E-4</v>
      </c>
      <c r="I14">
        <f t="shared" si="4"/>
        <v>1.2749883628544734E-4</v>
      </c>
    </row>
    <row r="15" spans="1:10" x14ac:dyDescent="0.3">
      <c r="A15">
        <f t="shared" si="5"/>
        <v>0.89999999999999991</v>
      </c>
      <c r="B15">
        <f t="shared" si="0"/>
        <v>6.1803398874989588E-3</v>
      </c>
      <c r="C15">
        <f>B15*G3</f>
        <v>3.0901699437494795E-2</v>
      </c>
      <c r="D15">
        <f>B15*H3</f>
        <v>2.0395121628746564E-2</v>
      </c>
      <c r="E15">
        <f>B15*I3</f>
        <v>6.7983738762488555E-3</v>
      </c>
      <c r="F15">
        <f t="shared" si="1"/>
        <v>6</v>
      </c>
      <c r="G15">
        <f t="shared" si="2"/>
        <v>2.932551319648094E-2</v>
      </c>
      <c r="H15">
        <f t="shared" si="3"/>
        <v>-1.576186241013855E-3</v>
      </c>
      <c r="I15">
        <f t="shared" si="4"/>
        <v>1.576186241013855E-3</v>
      </c>
    </row>
    <row r="16" spans="1:10" x14ac:dyDescent="0.3">
      <c r="A16">
        <f>A15+0.1</f>
        <v>0.99999999999999989</v>
      </c>
      <c r="B16">
        <f t="shared" si="0"/>
        <v>1.1332081106818492E-17</v>
      </c>
      <c r="C16">
        <f>B16*G3</f>
        <v>5.6660405534092464E-17</v>
      </c>
      <c r="D16">
        <f>B16*H3</f>
        <v>3.7395867652501018E-17</v>
      </c>
      <c r="E16">
        <f>B16*I3</f>
        <v>1.2465289217500342E-17</v>
      </c>
      <c r="F16">
        <f t="shared" si="1"/>
        <v>0</v>
      </c>
      <c r="G16">
        <f t="shared" si="2"/>
        <v>0</v>
      </c>
      <c r="H16">
        <f t="shared" si="3"/>
        <v>-5.6660405534092464E-17</v>
      </c>
      <c r="I16">
        <f t="shared" si="4"/>
        <v>5.6660405534092464E-17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Mónica Lucía Vera Medina</dc:creator>
  <cp:lastModifiedBy>Mónica Lucía Vera Medina</cp:lastModifiedBy>
  <dcterms:created xsi:type="dcterms:W3CDTF">2025-09-19T15:29:31Z</dcterms:created>
  <dcterms:modified xsi:type="dcterms:W3CDTF">2025-09-22T04:26:14Z</dcterms:modified>
</cp:coreProperties>
</file>